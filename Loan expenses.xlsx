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oan documents\"/>
    </mc:Choice>
  </mc:AlternateContent>
  <xr:revisionPtr revIDLastSave="0" documentId="8_{DC19409E-EB36-432D-AE29-66A1DDDD631C}" xr6:coauthVersionLast="47" xr6:coauthVersionMax="47" xr10:uidLastSave="{00000000-0000-0000-0000-000000000000}"/>
  <bookViews>
    <workbookView xWindow="-120" yWindow="-120" windowWidth="29040" windowHeight="15720" xr2:uid="{8C6DFB11-6AA1-483C-B3B0-C26342E8224B}"/>
  </bookViews>
  <sheets>
    <sheet name="new" sheetId="2" r:id="rId1"/>
    <sheet name="loan vs paid" sheetId="3" r:id="rId2"/>
    <sheet name="Sheet1" sheetId="4" r:id="rId3"/>
    <sheet name="old" sheetId="1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26" i="2" l="1"/>
  <c r="M2" i="3"/>
  <c r="M22" i="3"/>
  <c r="M28" i="3" s="1"/>
  <c r="M3" i="3"/>
  <c r="D22" i="2"/>
  <c r="G2" i="3"/>
  <c r="D2" i="3"/>
  <c r="P21" i="2"/>
  <c r="P28" i="2" s="1"/>
  <c r="K17" i="2"/>
  <c r="D14" i="2"/>
  <c r="D6" i="2"/>
  <c r="P2" i="2"/>
  <c r="P27" i="1"/>
  <c r="P21" i="1"/>
  <c r="P2" i="1"/>
  <c r="K17" i="1"/>
  <c r="D22" i="1"/>
  <c r="D6" i="1"/>
  <c r="D14" i="1" s="1"/>
  <c r="D9" i="3" l="1"/>
  <c r="D11" i="3" s="1"/>
  <c r="D13" i="3" s="1"/>
  <c r="D17" i="3" s="1"/>
  <c r="D29" i="2"/>
  <c r="D25" i="1"/>
  <c r="D28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Supriya Pandit</author>
  </authors>
  <commentList>
    <comment ref="D18" authorId="0" shapeId="0" xr:uid="{3D794748-7E92-4614-9E92-205507CDD264}">
      <text>
        <r>
          <rPr>
            <b/>
            <sz val="11"/>
            <color indexed="81"/>
            <rFont val="Tahoma"/>
            <charset val="1"/>
          </rPr>
          <t>Supriya Pandit:</t>
        </r>
        <r>
          <rPr>
            <sz val="11"/>
            <color indexed="81"/>
            <rFont val="Tahoma"/>
            <charset val="1"/>
          </rPr>
          <t xml:space="preserve">
For Stamp Duty, Registration &amp; DHC Only.
Bank Name : BANK OF INDIA
Bank Branch : Pune Main Branch,Pune.
Branch Address : Pune Main Branch,Pune.
Current Account No : 050027110000141
IFSC Code : BKID0000500
Beneficiar's Name / Cheque in favour : NYATI BUILDERS PVT LTD A/C E PAYMENT
</t>
        </r>
      </text>
    </comment>
    <comment ref="D19" authorId="0" shapeId="0" xr:uid="{5E26FD63-F233-4BC2-92BF-459413C05ACF}">
      <text>
        <r>
          <rPr>
            <b/>
            <sz val="11"/>
            <color indexed="81"/>
            <rFont val="Tahoma"/>
            <charset val="1"/>
          </rPr>
          <t>Supriya Pandit:</t>
        </r>
        <r>
          <rPr>
            <sz val="11"/>
            <color indexed="81"/>
            <rFont val="Tahoma"/>
            <charset val="1"/>
          </rPr>
          <t xml:space="preserve">
COLLECTION A/C ( For Booking &amp; Margin Money only )
Bank Name : HDFC BANK LTD
Bank Branch : BOAT CLUB ROAD,PUNE
Branch Address : BOAT CLUB ROAD,PUNE
Current Account No : 57500001395214
IFSC Code : HDFC0000039
Beneficiarys Name / Cheque in favour : NYATI BUILDERS PVT LTD NYATI EMERALD III MASTER ESCROW ACCOUNT
</t>
        </r>
      </text>
    </comment>
    <comment ref="D20" authorId="0" shapeId="0" xr:uid="{CA79CD07-2897-4C0F-87CB-02163E701826}">
      <text>
        <r>
          <rPr>
            <b/>
            <sz val="11"/>
            <color indexed="81"/>
            <rFont val="Tahoma"/>
            <charset val="1"/>
          </rPr>
          <t>Supriya Pandit:</t>
        </r>
        <r>
          <rPr>
            <sz val="11"/>
            <color indexed="81"/>
            <rFont val="Tahoma"/>
            <charset val="1"/>
          </rPr>
          <t xml:space="preserve">
GST ( For Gst Collection only ) 
Beneficiarys Name / Cheque in favour : NYATI BUILDERS PRIVATE LIMITED
Bank Name : HDFC BANK LTD
Bank Branch : BOAT CLUB ROAD,PUNE
Branch Address : BOAT CLUB ROAD,PUNE
Current Account No : 00392320000623
IFSC Code : HDFC0000039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Supriya Pandit</author>
  </authors>
  <commentList>
    <comment ref="D18" authorId="0" shapeId="0" xr:uid="{FA76E356-8BAE-405B-BED8-9D52C9F2D175}">
      <text>
        <r>
          <rPr>
            <b/>
            <sz val="11"/>
            <color indexed="81"/>
            <rFont val="Tahoma"/>
            <charset val="1"/>
          </rPr>
          <t>Supriya Pandit:</t>
        </r>
        <r>
          <rPr>
            <sz val="11"/>
            <color indexed="81"/>
            <rFont val="Tahoma"/>
            <charset val="1"/>
          </rPr>
          <t xml:space="preserve">
For Stamp Duty, Registration &amp; DHC Only.
Bank Name : BANK OF INDIA
Bank Branch : Pune Main Branch,Pune.
Branch Address : Pune Main Branch,Pune.
Current Account No : 050027110000141
IFSC Code : BKID0000500
Beneficiar's Name / Cheque in favour : NYATI BUILDERS PVT LTD A/C E PAYMENT
</t>
        </r>
      </text>
    </comment>
    <comment ref="D19" authorId="0" shapeId="0" xr:uid="{C60DEE71-4C64-4CF6-9B00-53004A8CC9C5}">
      <text>
        <r>
          <rPr>
            <b/>
            <sz val="11"/>
            <color indexed="81"/>
            <rFont val="Tahoma"/>
            <charset val="1"/>
          </rPr>
          <t>Supriya Pandit:</t>
        </r>
        <r>
          <rPr>
            <sz val="11"/>
            <color indexed="81"/>
            <rFont val="Tahoma"/>
            <charset val="1"/>
          </rPr>
          <t xml:space="preserve">
COLLECTION A/C ( For Booking &amp; Margin Money only )
Bank Name : HDFC BANK LTD
Bank Branch : BOAT CLUB ROAD,PUNE
Branch Address : BOAT CLUB ROAD,PUNE
Current Account No : 57500001395214
IFSC Code : HDFC0000039
Beneficiarys Name / Cheque in favour : NYATI BUILDERS PVT LTD NYATI EMERALD III MASTER ESCROW ACCOUNT
</t>
        </r>
      </text>
    </comment>
    <comment ref="D20" authorId="0" shapeId="0" xr:uid="{FAA0CC6B-A3AF-4FBE-A255-0D2DB0F74624}">
      <text>
        <r>
          <rPr>
            <b/>
            <sz val="11"/>
            <color indexed="81"/>
            <rFont val="Tahoma"/>
            <charset val="1"/>
          </rPr>
          <t>Supriya Pandit:</t>
        </r>
        <r>
          <rPr>
            <sz val="11"/>
            <color indexed="81"/>
            <rFont val="Tahoma"/>
            <charset val="1"/>
          </rPr>
          <t xml:space="preserve">
GST ( For Gst Collection only ) 
Beneficiarys Name / Cheque in favour : NYATI BUILDERS PRIVATE LIMITED
Bank Name : HDFC BANK LTD
Bank Branch : BOAT CLUB ROAD,PUNE
Branch Address : BOAT CLUB ROAD,PUNE
Current Account No : 00392320000623
IFSC Code : HDFC0000039
</t>
        </r>
      </text>
    </comment>
  </commentList>
</comments>
</file>

<file path=xl/sharedStrings.xml><?xml version="1.0" encoding="utf-8"?>
<sst xmlns="http://schemas.openxmlformats.org/spreadsheetml/2006/main" count="126" uniqueCount="66">
  <si>
    <t>Mortgage Charges.💥</t>
  </si>
  <si>
    <t>SBI agent Sanjay Dhakhale</t>
  </si>
  <si>
    <t>Loan amount</t>
  </si>
  <si>
    <t xml:space="preserve">   Loan Amount-82 lacs (max sanctioned)</t>
  </si>
  <si>
    <t xml:space="preserve">1300 Notice of Intimation. </t>
  </si>
  <si>
    <t>300 per Lkh MOD  (Mortgage Charges:- 0.30%).</t>
  </si>
  <si>
    <t>3900/- Stamp Duty</t>
  </si>
  <si>
    <t xml:space="preserve">15000 + </t>
  </si>
  <si>
    <t>Prossing fees-5900</t>
  </si>
  <si>
    <t>Search - 4000/-</t>
  </si>
  <si>
    <t xml:space="preserve">STAMP DUTY &amp; REGISTRATION CHARGES : 600100/- </t>
  </si>
  <si>
    <t>Valuation - 1770/-</t>
  </si>
  <si>
    <t xml:space="preserve">Nyati account </t>
  </si>
  <si>
    <t>Vinod Bhosale Nyati</t>
  </si>
  <si>
    <t xml:space="preserve">AGREEMENT ( 10% ) : Rs. 741696.4/- </t>
  </si>
  <si>
    <t xml:space="preserve">GST : Rs. 37084/- </t>
  </si>
  <si>
    <t>2L 10 Thousand Stanley Bhonsale (24 June 2025)</t>
  </si>
  <si>
    <t>Supriya ICICI bank</t>
  </si>
  <si>
    <t>Pramod rent</t>
  </si>
  <si>
    <t>Spriya current balance</t>
  </si>
  <si>
    <t>Nilu refund</t>
  </si>
  <si>
    <t>Balance in ICICI</t>
  </si>
  <si>
    <t>Supriya FD</t>
  </si>
  <si>
    <t>Money required for loan start</t>
  </si>
  <si>
    <t>Asmita</t>
  </si>
  <si>
    <t>Supriya</t>
  </si>
  <si>
    <t>Sunil</t>
  </si>
  <si>
    <t>19th Aug 2025</t>
  </si>
  <si>
    <t>5th Nov 2025</t>
  </si>
  <si>
    <t>29th Dec 2025</t>
  </si>
  <si>
    <t>24th Jan 26</t>
  </si>
  <si>
    <t>1st Feb 2026</t>
  </si>
  <si>
    <t>56 pramod</t>
  </si>
  <si>
    <t>2nd March 2026</t>
  </si>
  <si>
    <t>8 month 7k</t>
  </si>
  <si>
    <t>interest</t>
  </si>
  <si>
    <t>23rd nov 2025</t>
  </si>
  <si>
    <t>1st  Aug 2025</t>
  </si>
  <si>
    <t>1st Nov 2025</t>
  </si>
  <si>
    <t>1st sept 2025</t>
  </si>
  <si>
    <t>Pramod + Supriya</t>
  </si>
  <si>
    <t>Loan Amount 70,00,000/-</t>
  </si>
  <si>
    <t>Gov charges -</t>
  </si>
  <si>
    <t>MOD 0.3% On loan amt- 21000</t>
  </si>
  <si>
    <t>NOI- 16100</t>
  </si>
  <si>
    <t>Stamp &amp; Notary - 4,500+500</t>
  </si>
  <si>
    <t xml:space="preserve">Bank charges </t>
  </si>
  <si>
    <t>Processing fees - 5900</t>
  </si>
  <si>
    <t>CERSAI charges 118</t>
  </si>
  <si>
    <t>Total- 48,118/-</t>
  </si>
  <si>
    <t>NOI</t>
  </si>
  <si>
    <t>Stamp duty</t>
  </si>
  <si>
    <t>Notary</t>
  </si>
  <si>
    <t>CERSAI charges</t>
  </si>
  <si>
    <t>Search report</t>
  </si>
  <si>
    <t>Own funding (31st July 2025)</t>
  </si>
  <si>
    <t>Price</t>
  </si>
  <si>
    <t>Own contribution</t>
  </si>
  <si>
    <t>Loan amt</t>
  </si>
  <si>
    <t>Advocate fees in cash on 14th July 2025</t>
  </si>
  <si>
    <t>Total own contribution till 31st july 2025</t>
  </si>
  <si>
    <t>Still pending own contribution</t>
  </si>
  <si>
    <t>To give nilu</t>
  </si>
  <si>
    <t>Net saving</t>
  </si>
  <si>
    <t>Balance to create till Dec 2027</t>
  </si>
  <si>
    <t>Own funding (10th November 2025)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</si>
</sst>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1"/>
      <name val="Tahoma"/>
      <charset val="1"/>
    </font>
    <font>
      <b/>
      <sz val="11"/>
      <color indexed="81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164" fontId="0" fillId="0" borderId="1" xfId="0" applyNumberFormat="1" applyBorder="1"/>
    <xf numFmtId="164" fontId="1" fillId="2" borderId="1" xfId="0" applyNumberFormat="1" applyFont="1" applyFill="1" applyBorder="1"/>
    <xf numFmtId="164" fontId="0" fillId="0" borderId="0" xfId="0" applyNumberFormat="1"/>
    <xf numFmtId="164" fontId="1" fillId="4" borderId="1" xfId="0" applyNumberFormat="1" applyFont="1" applyFill="1" applyBorder="1"/>
    <xf numFmtId="164" fontId="0" fillId="5" borderId="1" xfId="0" applyNumberFormat="1" applyFill="1" applyBorder="1"/>
    <xf numFmtId="164" fontId="0" fillId="3" borderId="1" xfId="0" applyNumberFormat="1" applyFill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Border="1"/>
    <xf numFmtId="164" fontId="0" fillId="4" borderId="1" xfId="0" applyNumberFormat="1" applyFill="1" applyBorder="1"/>
    <xf numFmtId="164" fontId="0" fillId="4" borderId="0" xfId="0" applyNumberFormat="1" applyFill="1" applyBorder="1"/>
    <xf numFmtId="0" fontId="0" fillId="0" borderId="2" xfId="0" applyFill="1" applyBorder="1"/>
    <xf numFmtId="0" fontId="1" fillId="2" borderId="0" xfId="0" applyFont="1" applyFill="1"/>
    <xf numFmtId="0" fontId="0" fillId="0" borderId="3" xfId="0" applyBorder="1"/>
    <xf numFmtId="0" fontId="0" fillId="0" borderId="4" xfId="0" applyBorder="1"/>
    <xf numFmtId="164" fontId="0" fillId="2" borderId="5" xfId="0" applyNumberFormat="1" applyFill="1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7C73E-8436-4EFE-BB54-95B8D9955C32}">
  <dimension ref="A1:W38"/>
  <sheetViews>
    <sheetView tabSelected="1" workbookViewId="0">
      <selection activeCell="F32" sqref="F32"/>
    </sheetView>
  </sheetViews>
  <sheetFormatPr defaultRowHeight="15" x14ac:dyDescent="0.25"/>
  <cols>
    <col min="2" max="2" width="9.140625" style="10"/>
    <col min="3" max="3" width="46.5703125" bestFit="1" customWidth="1"/>
    <col min="4" max="4" width="13.42578125" style="4" bestFit="1" customWidth="1"/>
    <col min="9" max="9" width="20.85546875" bestFit="1" customWidth="1"/>
    <col min="10" max="10" width="12.28515625" bestFit="1" customWidth="1"/>
    <col min="11" max="11" width="13.42578125" style="4" bestFit="1" customWidth="1"/>
    <col min="15" max="15" width="16.42578125" bestFit="1" customWidth="1"/>
    <col min="16" max="16" width="13.42578125" style="11" bestFit="1" customWidth="1"/>
    <col min="18" max="18" width="14.7109375" bestFit="1" customWidth="1"/>
  </cols>
  <sheetData>
    <row r="1" spans="1:23" x14ac:dyDescent="0.25">
      <c r="P1" s="2"/>
    </row>
    <row r="2" spans="1:23" x14ac:dyDescent="0.25">
      <c r="A2" s="1"/>
      <c r="B2" s="8"/>
      <c r="C2" s="1"/>
      <c r="D2" s="2" t="s">
        <v>2</v>
      </c>
      <c r="E2" s="1">
        <v>7000000</v>
      </c>
      <c r="F2" s="1"/>
      <c r="H2" s="1"/>
      <c r="I2" s="1"/>
      <c r="J2" s="1"/>
      <c r="K2" s="2"/>
      <c r="L2" s="1"/>
      <c r="P2" s="2">
        <f>SUM(P5:P20)</f>
        <v>2411000</v>
      </c>
    </row>
    <row r="3" spans="1:23" x14ac:dyDescent="0.25">
      <c r="A3" s="1"/>
      <c r="B3" s="8"/>
      <c r="C3" s="1"/>
      <c r="D3" s="2"/>
      <c r="E3" s="1"/>
      <c r="F3" s="1"/>
      <c r="H3" s="1">
        <v>1</v>
      </c>
      <c r="I3" s="1" t="s">
        <v>20</v>
      </c>
      <c r="J3" s="2">
        <v>800000</v>
      </c>
      <c r="K3" s="2">
        <v>100000</v>
      </c>
      <c r="L3" s="1"/>
      <c r="P3" s="2"/>
    </row>
    <row r="4" spans="1:23" x14ac:dyDescent="0.25">
      <c r="A4" s="19" t="s">
        <v>1</v>
      </c>
      <c r="B4" s="9"/>
      <c r="C4" s="1" t="s">
        <v>0</v>
      </c>
      <c r="D4" s="2"/>
      <c r="E4" s="1"/>
      <c r="F4" s="1"/>
      <c r="H4" s="1">
        <v>2</v>
      </c>
      <c r="I4" s="1" t="s">
        <v>18</v>
      </c>
      <c r="J4" s="1"/>
      <c r="K4" s="2">
        <v>20000</v>
      </c>
      <c r="L4" s="1"/>
      <c r="P4" s="2"/>
    </row>
    <row r="5" spans="1:23" x14ac:dyDescent="0.25">
      <c r="A5" s="19"/>
      <c r="B5" s="9"/>
      <c r="C5" s="1" t="s">
        <v>3</v>
      </c>
      <c r="D5" s="2"/>
      <c r="E5" s="1"/>
      <c r="F5" s="1"/>
      <c r="H5" s="1">
        <v>3</v>
      </c>
      <c r="I5" s="1" t="s">
        <v>19</v>
      </c>
      <c r="J5" s="1"/>
      <c r="K5" s="2">
        <v>1228902.5</v>
      </c>
      <c r="L5" s="1"/>
      <c r="O5" t="s">
        <v>26</v>
      </c>
      <c r="P5" s="12">
        <v>500000</v>
      </c>
      <c r="R5" t="s">
        <v>38</v>
      </c>
    </row>
    <row r="6" spans="1:23" x14ac:dyDescent="0.25">
      <c r="A6" s="19"/>
      <c r="B6" s="9">
        <v>1</v>
      </c>
      <c r="C6" s="1" t="s">
        <v>5</v>
      </c>
      <c r="D6" s="2">
        <f>300*70</f>
        <v>21000</v>
      </c>
      <c r="E6" s="1"/>
      <c r="F6" s="1"/>
      <c r="H6" s="1">
        <v>4</v>
      </c>
      <c r="I6" s="1" t="s">
        <v>22</v>
      </c>
      <c r="J6" s="1"/>
      <c r="K6" s="2">
        <v>100000</v>
      </c>
      <c r="L6" s="1"/>
      <c r="O6" t="s">
        <v>24</v>
      </c>
      <c r="P6" s="12">
        <v>100000</v>
      </c>
      <c r="R6" t="s">
        <v>37</v>
      </c>
    </row>
    <row r="7" spans="1:23" x14ac:dyDescent="0.25">
      <c r="A7" s="19"/>
      <c r="B7" s="9">
        <v>2</v>
      </c>
      <c r="C7" s="1" t="s">
        <v>50</v>
      </c>
      <c r="D7" s="2">
        <v>16100</v>
      </c>
      <c r="E7" s="1"/>
      <c r="F7" s="1"/>
      <c r="H7" s="1">
        <v>5</v>
      </c>
      <c r="I7" s="1"/>
      <c r="J7" s="1"/>
      <c r="K7" s="2"/>
      <c r="L7" s="1"/>
      <c r="P7" s="2">
        <v>900000</v>
      </c>
      <c r="R7" t="s">
        <v>38</v>
      </c>
    </row>
    <row r="8" spans="1:23" x14ac:dyDescent="0.25">
      <c r="A8" s="19"/>
      <c r="B8" s="9">
        <v>3</v>
      </c>
      <c r="C8" s="1" t="s">
        <v>51</v>
      </c>
      <c r="D8" s="2">
        <v>4500</v>
      </c>
      <c r="E8" s="1"/>
      <c r="F8" s="1"/>
      <c r="H8" s="1"/>
      <c r="I8" s="1"/>
      <c r="J8" s="1"/>
      <c r="K8" s="2"/>
      <c r="L8" s="1"/>
      <c r="P8" s="2"/>
    </row>
    <row r="9" spans="1:23" x14ac:dyDescent="0.25">
      <c r="A9" s="19"/>
      <c r="B9" s="9">
        <v>4</v>
      </c>
      <c r="C9" s="1" t="s">
        <v>52</v>
      </c>
      <c r="D9" s="2">
        <v>500</v>
      </c>
      <c r="E9" s="1"/>
      <c r="F9" s="1"/>
      <c r="H9" s="1"/>
      <c r="I9" s="1"/>
      <c r="J9" s="1"/>
      <c r="K9" s="2"/>
      <c r="L9" s="1"/>
      <c r="O9" t="s">
        <v>25</v>
      </c>
      <c r="P9" s="12">
        <v>100000</v>
      </c>
      <c r="R9" t="s">
        <v>27</v>
      </c>
    </row>
    <row r="10" spans="1:23" x14ac:dyDescent="0.25">
      <c r="A10" s="19"/>
      <c r="B10" s="9">
        <v>5</v>
      </c>
      <c r="C10" s="1" t="s">
        <v>8</v>
      </c>
      <c r="D10" s="2">
        <v>5900</v>
      </c>
      <c r="E10" s="1"/>
      <c r="F10" s="1"/>
      <c r="H10" s="1"/>
      <c r="I10" s="1"/>
      <c r="J10" s="1"/>
      <c r="K10" s="2"/>
      <c r="L10" s="1"/>
      <c r="P10" s="2">
        <v>200000</v>
      </c>
      <c r="R10" t="s">
        <v>28</v>
      </c>
    </row>
    <row r="11" spans="1:23" x14ac:dyDescent="0.25">
      <c r="A11" s="19"/>
      <c r="B11" s="9">
        <v>6</v>
      </c>
      <c r="C11" s="1" t="s">
        <v>53</v>
      </c>
      <c r="D11" s="2">
        <v>118</v>
      </c>
      <c r="E11" s="1"/>
      <c r="F11" s="1"/>
      <c r="H11" s="1"/>
      <c r="I11" s="1"/>
      <c r="J11" s="1"/>
      <c r="K11" s="2"/>
      <c r="L11" s="1"/>
      <c r="P11" s="12">
        <v>100000</v>
      </c>
      <c r="R11" t="s">
        <v>36</v>
      </c>
    </row>
    <row r="12" spans="1:23" x14ac:dyDescent="0.25">
      <c r="A12" s="19"/>
      <c r="B12" s="9">
        <v>7</v>
      </c>
      <c r="C12" s="1" t="s">
        <v>54</v>
      </c>
      <c r="D12" s="2">
        <v>6000</v>
      </c>
      <c r="E12" s="1"/>
      <c r="F12" s="1"/>
      <c r="H12" s="1"/>
      <c r="I12" s="1"/>
      <c r="J12" s="1"/>
      <c r="K12" s="2"/>
      <c r="L12" s="1"/>
      <c r="P12" s="2">
        <v>100000</v>
      </c>
      <c r="R12" t="s">
        <v>29</v>
      </c>
    </row>
    <row r="13" spans="1:23" x14ac:dyDescent="0.25">
      <c r="A13" s="1"/>
      <c r="B13" s="8"/>
      <c r="C13" s="1"/>
      <c r="D13" s="2"/>
      <c r="E13" s="1"/>
      <c r="F13" s="1"/>
      <c r="H13" s="1"/>
      <c r="I13" s="1"/>
      <c r="J13" s="1"/>
      <c r="K13" s="2"/>
      <c r="L13" s="1"/>
      <c r="P13" s="2">
        <v>100000</v>
      </c>
      <c r="R13" t="s">
        <v>30</v>
      </c>
    </row>
    <row r="14" spans="1:23" x14ac:dyDescent="0.25">
      <c r="A14" s="1"/>
      <c r="B14" s="8"/>
      <c r="C14" s="1"/>
      <c r="D14" s="3">
        <f>SUM(D6:D12)</f>
        <v>54118</v>
      </c>
      <c r="E14" s="1"/>
      <c r="F14" s="1"/>
      <c r="H14" s="1"/>
      <c r="I14" s="1"/>
      <c r="J14" s="1"/>
      <c r="K14" s="2"/>
      <c r="L14" s="1"/>
      <c r="P14" s="2">
        <v>55000</v>
      </c>
      <c r="R14" t="s">
        <v>31</v>
      </c>
      <c r="W14" t="s">
        <v>34</v>
      </c>
    </row>
    <row r="15" spans="1:23" x14ac:dyDescent="0.25">
      <c r="A15" s="1"/>
      <c r="B15" s="8"/>
      <c r="C15" s="1"/>
      <c r="D15" s="2"/>
      <c r="E15" s="1"/>
      <c r="F15" s="1"/>
      <c r="H15" s="1"/>
      <c r="I15" s="1"/>
      <c r="J15" s="1"/>
      <c r="K15" s="2"/>
      <c r="L15" s="1"/>
      <c r="P15" s="2">
        <v>56000</v>
      </c>
      <c r="R15" t="s">
        <v>33</v>
      </c>
      <c r="V15" t="s">
        <v>32</v>
      </c>
    </row>
    <row r="16" spans="1:23" x14ac:dyDescent="0.25">
      <c r="A16" s="1"/>
      <c r="B16" s="8"/>
      <c r="C16" s="1"/>
      <c r="D16" s="2"/>
      <c r="E16" s="1"/>
      <c r="F16" s="1"/>
      <c r="H16" s="1"/>
      <c r="I16" s="1"/>
      <c r="J16" s="1"/>
      <c r="K16" s="2"/>
      <c r="L16" s="1"/>
      <c r="O16" t="s">
        <v>35</v>
      </c>
      <c r="P16" s="2">
        <v>200000</v>
      </c>
      <c r="R16" t="s">
        <v>33</v>
      </c>
    </row>
    <row r="17" spans="1:18" x14ac:dyDescent="0.25">
      <c r="H17" s="1"/>
      <c r="I17" s="1" t="s">
        <v>17</v>
      </c>
      <c r="J17" s="1"/>
      <c r="K17" s="7">
        <f>SUM(K3:K15)</f>
        <v>1448902.5</v>
      </c>
      <c r="L17" s="1"/>
      <c r="P17" s="2"/>
    </row>
    <row r="18" spans="1:18" x14ac:dyDescent="0.25">
      <c r="A18" s="19" t="s">
        <v>13</v>
      </c>
      <c r="B18" s="8">
        <v>1</v>
      </c>
      <c r="C18" s="1" t="s">
        <v>10</v>
      </c>
      <c r="D18" s="2">
        <v>600100</v>
      </c>
      <c r="E18" s="1"/>
      <c r="F18" s="1"/>
      <c r="H18" s="1"/>
      <c r="I18" s="1"/>
      <c r="J18" s="1"/>
      <c r="K18" s="2"/>
      <c r="L18" s="1"/>
      <c r="P18" s="2"/>
    </row>
    <row r="19" spans="1:18" x14ac:dyDescent="0.25">
      <c r="A19" s="19"/>
      <c r="B19" s="8">
        <v>2</v>
      </c>
      <c r="C19" s="1" t="s">
        <v>14</v>
      </c>
      <c r="D19" s="2">
        <v>741696.4</v>
      </c>
      <c r="E19" s="1"/>
      <c r="F19" s="1"/>
      <c r="H19" s="1"/>
      <c r="I19" s="1"/>
      <c r="J19" s="1"/>
      <c r="K19" s="2"/>
      <c r="L19" s="1"/>
      <c r="P19" s="2"/>
    </row>
    <row r="20" spans="1:18" x14ac:dyDescent="0.25">
      <c r="A20" s="19"/>
      <c r="B20" s="8">
        <v>3</v>
      </c>
      <c r="C20" s="1" t="s">
        <v>15</v>
      </c>
      <c r="D20" s="2">
        <v>37084</v>
      </c>
      <c r="E20" s="1"/>
      <c r="F20" s="1"/>
      <c r="H20" s="1"/>
      <c r="I20" s="1"/>
      <c r="J20" s="1"/>
      <c r="K20" s="2"/>
      <c r="L20" s="1"/>
      <c r="P20" s="2"/>
    </row>
    <row r="21" spans="1:18" x14ac:dyDescent="0.25">
      <c r="A21" s="19"/>
      <c r="B21" s="8">
        <v>4</v>
      </c>
      <c r="C21" s="1" t="s">
        <v>16</v>
      </c>
      <c r="D21" s="2">
        <v>210000</v>
      </c>
      <c r="E21" s="1"/>
      <c r="F21" s="1"/>
      <c r="P21" s="2">
        <f>J3-P6-P9</f>
        <v>600000</v>
      </c>
    </row>
    <row r="22" spans="1:18" x14ac:dyDescent="0.25">
      <c r="A22" s="19"/>
      <c r="B22" s="8"/>
      <c r="C22" s="1" t="s">
        <v>12</v>
      </c>
      <c r="D22" s="3">
        <f>SUM(D18:D21)</f>
        <v>1588880.4</v>
      </c>
      <c r="E22" s="1"/>
      <c r="F22" s="1"/>
      <c r="P22" s="2"/>
    </row>
    <row r="23" spans="1:18" x14ac:dyDescent="0.25">
      <c r="B23" s="10">
        <v>5</v>
      </c>
      <c r="C23" s="14" t="s">
        <v>55</v>
      </c>
      <c r="D23" s="4">
        <v>400000</v>
      </c>
      <c r="I23" t="s">
        <v>41</v>
      </c>
      <c r="O23" t="s">
        <v>40</v>
      </c>
      <c r="P23" s="12">
        <v>200000</v>
      </c>
      <c r="R23" t="s">
        <v>39</v>
      </c>
    </row>
    <row r="24" spans="1:18" x14ac:dyDescent="0.25">
      <c r="B24" s="10">
        <v>6</v>
      </c>
      <c r="C24" s="14" t="s">
        <v>65</v>
      </c>
      <c r="D24" s="4">
        <v>100000</v>
      </c>
      <c r="P24" s="12"/>
    </row>
    <row r="25" spans="1:18" x14ac:dyDescent="0.25">
      <c r="B25" s="10">
        <v>7</v>
      </c>
      <c r="C25" s="14" t="s">
        <v>59</v>
      </c>
      <c r="D25" s="4">
        <v>18000</v>
      </c>
      <c r="P25" s="2"/>
    </row>
    <row r="26" spans="1:18" x14ac:dyDescent="0.25">
      <c r="A26" s="1"/>
      <c r="B26" s="8"/>
      <c r="C26" s="1" t="s">
        <v>23</v>
      </c>
      <c r="D26" s="5">
        <f>D14+D22+D23+D25+D24</f>
        <v>2160998.3999999999</v>
      </c>
      <c r="E26" s="1"/>
      <c r="F26" s="1"/>
      <c r="I26" t="s">
        <v>42</v>
      </c>
    </row>
    <row r="28" spans="1:18" x14ac:dyDescent="0.25">
      <c r="P28" s="13">
        <f>P21-P23</f>
        <v>400000</v>
      </c>
    </row>
    <row r="29" spans="1:18" x14ac:dyDescent="0.25">
      <c r="A29" s="1"/>
      <c r="B29" s="8"/>
      <c r="C29" s="1" t="s">
        <v>21</v>
      </c>
      <c r="D29" s="6">
        <f>K17-D26</f>
        <v>-712095.89999999991</v>
      </c>
      <c r="E29" s="1"/>
      <c r="F29" s="1"/>
      <c r="I29" t="s">
        <v>43</v>
      </c>
    </row>
    <row r="30" spans="1:18" x14ac:dyDescent="0.25">
      <c r="I30" t="s">
        <v>44</v>
      </c>
    </row>
    <row r="31" spans="1:18" x14ac:dyDescent="0.25">
      <c r="I31" t="s">
        <v>45</v>
      </c>
    </row>
    <row r="33" spans="4:9" x14ac:dyDescent="0.25">
      <c r="D33">
        <v>16100</v>
      </c>
      <c r="I33" t="s">
        <v>46</v>
      </c>
    </row>
    <row r="35" spans="4:9" x14ac:dyDescent="0.25">
      <c r="I35" t="s">
        <v>47</v>
      </c>
    </row>
    <row r="36" spans="4:9" x14ac:dyDescent="0.25">
      <c r="I36" t="s">
        <v>48</v>
      </c>
    </row>
    <row r="38" spans="4:9" x14ac:dyDescent="0.25">
      <c r="I38" t="s">
        <v>49</v>
      </c>
    </row>
  </sheetData>
  <mergeCells count="2">
    <mergeCell ref="A4:A12"/>
    <mergeCell ref="A18:A22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B5EE2-E983-42E2-80FB-B85F75D8621B}">
  <dimension ref="B2:T29"/>
  <sheetViews>
    <sheetView workbookViewId="0">
      <selection activeCell="D21" sqref="D21"/>
    </sheetView>
  </sheetViews>
  <sheetFormatPr defaultRowHeight="15" x14ac:dyDescent="0.25"/>
  <cols>
    <col min="2" max="2" width="37" bestFit="1" customWidth="1"/>
    <col min="4" max="4" width="12.28515625" bestFit="1" customWidth="1"/>
    <col min="12" max="12" width="16.42578125" bestFit="1" customWidth="1"/>
    <col min="13" max="13" width="13.42578125" bestFit="1" customWidth="1"/>
  </cols>
  <sheetData>
    <row r="2" spans="2:20" x14ac:dyDescent="0.25">
      <c r="B2" t="s">
        <v>56</v>
      </c>
      <c r="D2" s="15">
        <f>D4+D5</f>
        <v>10700122</v>
      </c>
      <c r="G2">
        <f>D2-G4</f>
        <v>3700122</v>
      </c>
      <c r="L2" t="s">
        <v>63</v>
      </c>
      <c r="M2" s="6">
        <f>M3-R3</f>
        <v>1216000</v>
      </c>
    </row>
    <row r="3" spans="2:20" x14ac:dyDescent="0.25">
      <c r="M3" s="2">
        <f>SUM(M6:M21)</f>
        <v>2016000</v>
      </c>
      <c r="Q3" t="s">
        <v>62</v>
      </c>
      <c r="R3">
        <v>800000</v>
      </c>
    </row>
    <row r="4" spans="2:20" x14ac:dyDescent="0.25">
      <c r="D4">
        <v>10505830</v>
      </c>
      <c r="F4" t="s">
        <v>58</v>
      </c>
      <c r="G4">
        <v>7000000</v>
      </c>
      <c r="M4" s="2"/>
    </row>
    <row r="5" spans="2:20" x14ac:dyDescent="0.25">
      <c r="D5">
        <v>194292</v>
      </c>
      <c r="M5" s="2"/>
    </row>
    <row r="6" spans="2:20" x14ac:dyDescent="0.25">
      <c r="L6" t="s">
        <v>26</v>
      </c>
      <c r="M6" s="12">
        <v>500000</v>
      </c>
      <c r="O6" t="s">
        <v>38</v>
      </c>
    </row>
    <row r="7" spans="2:20" x14ac:dyDescent="0.25">
      <c r="B7" t="s">
        <v>57</v>
      </c>
      <c r="D7">
        <v>400000</v>
      </c>
      <c r="L7" t="s">
        <v>24</v>
      </c>
      <c r="M7" s="12">
        <v>100000</v>
      </c>
      <c r="O7" t="s">
        <v>37</v>
      </c>
    </row>
    <row r="8" spans="2:20" x14ac:dyDescent="0.25">
      <c r="B8" t="s">
        <v>57</v>
      </c>
      <c r="D8">
        <v>210000</v>
      </c>
      <c r="M8" s="2">
        <v>900000</v>
      </c>
      <c r="O8" t="s">
        <v>38</v>
      </c>
    </row>
    <row r="9" spans="2:20" x14ac:dyDescent="0.25">
      <c r="D9">
        <f>new!D26</f>
        <v>2160998.3999999999</v>
      </c>
      <c r="M9" s="2"/>
    </row>
    <row r="10" spans="2:20" x14ac:dyDescent="0.25">
      <c r="L10" t="s">
        <v>25</v>
      </c>
      <c r="M10" s="12">
        <v>100000</v>
      </c>
      <c r="O10" t="s">
        <v>27</v>
      </c>
    </row>
    <row r="11" spans="2:20" x14ac:dyDescent="0.25">
      <c r="B11" t="s">
        <v>60</v>
      </c>
      <c r="D11">
        <f>D9</f>
        <v>2160998.3999999999</v>
      </c>
      <c r="M11" s="2">
        <v>200000</v>
      </c>
      <c r="O11" t="s">
        <v>28</v>
      </c>
    </row>
    <row r="12" spans="2:20" x14ac:dyDescent="0.25">
      <c r="M12" s="12"/>
      <c r="O12" t="s">
        <v>36</v>
      </c>
    </row>
    <row r="13" spans="2:20" x14ac:dyDescent="0.25">
      <c r="B13" t="s">
        <v>61</v>
      </c>
      <c r="D13">
        <f>G2-D11</f>
        <v>1539123.6</v>
      </c>
      <c r="M13" s="2"/>
      <c r="O13" t="s">
        <v>29</v>
      </c>
    </row>
    <row r="14" spans="2:20" x14ac:dyDescent="0.25">
      <c r="M14" s="2"/>
      <c r="O14" t="s">
        <v>30</v>
      </c>
    </row>
    <row r="15" spans="2:20" x14ac:dyDescent="0.25">
      <c r="M15" s="2"/>
      <c r="O15" t="s">
        <v>31</v>
      </c>
      <c r="T15" t="s">
        <v>34</v>
      </c>
    </row>
    <row r="16" spans="2:20" ht="15.75" thickBot="1" x14ac:dyDescent="0.3">
      <c r="M16" s="2">
        <v>56000</v>
      </c>
      <c r="O16" t="s">
        <v>33</v>
      </c>
      <c r="S16" t="s">
        <v>32</v>
      </c>
    </row>
    <row r="17" spans="2:15" ht="15.75" thickBot="1" x14ac:dyDescent="0.3">
      <c r="B17" s="16" t="s">
        <v>64</v>
      </c>
      <c r="C17" s="17"/>
      <c r="D17" s="18">
        <f>D13-M2</f>
        <v>323123.60000000009</v>
      </c>
      <c r="L17" t="s">
        <v>35</v>
      </c>
      <c r="M17" s="2">
        <v>160000</v>
      </c>
      <c r="O17" t="s">
        <v>33</v>
      </c>
    </row>
    <row r="18" spans="2:15" x14ac:dyDescent="0.25">
      <c r="M18" s="2"/>
    </row>
    <row r="19" spans="2:15" x14ac:dyDescent="0.25">
      <c r="M19" s="2"/>
    </row>
    <row r="20" spans="2:15" x14ac:dyDescent="0.25">
      <c r="M20" s="2"/>
    </row>
    <row r="21" spans="2:15" x14ac:dyDescent="0.25">
      <c r="M21" s="2"/>
    </row>
    <row r="22" spans="2:15" x14ac:dyDescent="0.25">
      <c r="M22" s="2">
        <f>G4-M7-M10</f>
        <v>6800000</v>
      </c>
    </row>
    <row r="23" spans="2:15" x14ac:dyDescent="0.25">
      <c r="M23" s="2"/>
    </row>
    <row r="24" spans="2:15" x14ac:dyDescent="0.25">
      <c r="L24" t="s">
        <v>40</v>
      </c>
      <c r="M24" s="12">
        <v>200000</v>
      </c>
      <c r="O24" t="s">
        <v>39</v>
      </c>
    </row>
    <row r="25" spans="2:15" x14ac:dyDescent="0.25">
      <c r="M25" s="2"/>
    </row>
    <row r="26" spans="2:15" x14ac:dyDescent="0.25">
      <c r="M26" s="11"/>
    </row>
    <row r="27" spans="2:15" x14ac:dyDescent="0.25">
      <c r="M27" s="11"/>
    </row>
    <row r="28" spans="2:15" x14ac:dyDescent="0.25">
      <c r="M28" s="13">
        <f>M22-M24</f>
        <v>6600000</v>
      </c>
    </row>
    <row r="29" spans="2:15" x14ac:dyDescent="0.25">
      <c r="M29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F1319-0799-437B-AF61-CC0C69E8ECB5}">
  <dimension ref="C3"/>
  <sheetViews>
    <sheetView workbookViewId="0">
      <selection activeCell="C5" sqref="C5"/>
    </sheetView>
  </sheetViews>
  <sheetFormatPr defaultRowHeight="15" x14ac:dyDescent="0.25"/>
  <sheetData>
    <row r="3" spans="3:3" x14ac:dyDescent="0.25">
      <c r="C3">
        <v>20000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D1C65-F6D9-4987-B56D-A0C6103DA920}">
  <dimension ref="A1:W28"/>
  <sheetViews>
    <sheetView topLeftCell="B1" workbookViewId="0">
      <selection activeCell="E33" sqref="E33"/>
    </sheetView>
  </sheetViews>
  <sheetFormatPr defaultRowHeight="15" x14ac:dyDescent="0.25"/>
  <cols>
    <col min="2" max="2" width="9.140625" style="10"/>
    <col min="3" max="3" width="46.5703125" bestFit="1" customWidth="1"/>
    <col min="4" max="4" width="13.42578125" style="4" bestFit="1" customWidth="1"/>
    <col min="9" max="9" width="20.85546875" bestFit="1" customWidth="1"/>
    <col min="10" max="10" width="12.28515625" bestFit="1" customWidth="1"/>
    <col min="11" max="11" width="13.42578125" style="4" bestFit="1" customWidth="1"/>
    <col min="15" max="15" width="16.42578125" bestFit="1" customWidth="1"/>
    <col min="16" max="16" width="13.42578125" style="11" bestFit="1" customWidth="1"/>
    <col min="18" max="18" width="14.7109375" bestFit="1" customWidth="1"/>
  </cols>
  <sheetData>
    <row r="1" spans="1:23" x14ac:dyDescent="0.25">
      <c r="P1" s="2"/>
    </row>
    <row r="2" spans="1:23" x14ac:dyDescent="0.25">
      <c r="A2" s="1"/>
      <c r="B2" s="8"/>
      <c r="C2" s="1"/>
      <c r="D2" s="2" t="s">
        <v>2</v>
      </c>
      <c r="E2" s="1">
        <v>7000000</v>
      </c>
      <c r="F2" s="1"/>
      <c r="H2" s="1"/>
      <c r="I2" s="1"/>
      <c r="J2" s="1"/>
      <c r="K2" s="2"/>
      <c r="L2" s="1"/>
      <c r="P2" s="2">
        <f>SUM(P5:P20)</f>
        <v>2411000</v>
      </c>
    </row>
    <row r="3" spans="1:23" x14ac:dyDescent="0.25">
      <c r="A3" s="1"/>
      <c r="B3" s="8"/>
      <c r="C3" s="1"/>
      <c r="D3" s="2"/>
      <c r="E3" s="1"/>
      <c r="F3" s="1"/>
      <c r="H3" s="1">
        <v>1</v>
      </c>
      <c r="I3" s="1" t="s">
        <v>20</v>
      </c>
      <c r="J3" s="2">
        <v>800000</v>
      </c>
      <c r="K3" s="2">
        <v>100000</v>
      </c>
      <c r="L3" s="1"/>
      <c r="P3" s="2"/>
    </row>
    <row r="4" spans="1:23" x14ac:dyDescent="0.25">
      <c r="A4" s="19" t="s">
        <v>1</v>
      </c>
      <c r="B4" s="9"/>
      <c r="C4" s="1" t="s">
        <v>0</v>
      </c>
      <c r="D4" s="2"/>
      <c r="E4" s="1"/>
      <c r="F4" s="1"/>
      <c r="H4" s="1">
        <v>2</v>
      </c>
      <c r="I4" s="1" t="s">
        <v>18</v>
      </c>
      <c r="J4" s="1"/>
      <c r="K4" s="2">
        <v>20000</v>
      </c>
      <c r="L4" s="1"/>
      <c r="P4" s="2"/>
    </row>
    <row r="5" spans="1:23" x14ac:dyDescent="0.25">
      <c r="A5" s="19"/>
      <c r="B5" s="9"/>
      <c r="C5" s="1" t="s">
        <v>3</v>
      </c>
      <c r="D5" s="2"/>
      <c r="E5" s="1"/>
      <c r="F5" s="1"/>
      <c r="H5" s="1">
        <v>3</v>
      </c>
      <c r="I5" s="1" t="s">
        <v>19</v>
      </c>
      <c r="J5" s="1"/>
      <c r="K5" s="2">
        <v>1228902.5</v>
      </c>
      <c r="L5" s="1"/>
      <c r="O5" t="s">
        <v>26</v>
      </c>
      <c r="P5" s="12">
        <v>500000</v>
      </c>
      <c r="R5" t="s">
        <v>38</v>
      </c>
    </row>
    <row r="6" spans="1:23" x14ac:dyDescent="0.25">
      <c r="A6" s="19"/>
      <c r="B6" s="9">
        <v>1</v>
      </c>
      <c r="C6" s="1" t="s">
        <v>5</v>
      </c>
      <c r="D6" s="2">
        <f>300*70</f>
        <v>21000</v>
      </c>
      <c r="E6" s="1"/>
      <c r="F6" s="1"/>
      <c r="H6" s="1">
        <v>4</v>
      </c>
      <c r="I6" s="1" t="s">
        <v>22</v>
      </c>
      <c r="J6" s="1"/>
      <c r="K6" s="2">
        <v>100000</v>
      </c>
      <c r="L6" s="1"/>
      <c r="O6" t="s">
        <v>24</v>
      </c>
      <c r="P6" s="12">
        <v>100000</v>
      </c>
      <c r="R6" t="s">
        <v>37</v>
      </c>
    </row>
    <row r="7" spans="1:23" x14ac:dyDescent="0.25">
      <c r="A7" s="19"/>
      <c r="B7" s="9">
        <v>2</v>
      </c>
      <c r="C7" s="1" t="s">
        <v>6</v>
      </c>
      <c r="D7" s="2">
        <v>3900</v>
      </c>
      <c r="E7" s="1"/>
      <c r="F7" s="1"/>
      <c r="H7" s="1">
        <v>5</v>
      </c>
      <c r="I7" s="1"/>
      <c r="J7" s="1"/>
      <c r="K7" s="2"/>
      <c r="L7" s="1"/>
      <c r="P7" s="2">
        <v>900000</v>
      </c>
      <c r="R7" t="s">
        <v>38</v>
      </c>
    </row>
    <row r="8" spans="1:23" x14ac:dyDescent="0.25">
      <c r="A8" s="19"/>
      <c r="B8" s="9">
        <v>3</v>
      </c>
      <c r="C8" s="1" t="s">
        <v>7</v>
      </c>
      <c r="D8" s="2">
        <v>15000</v>
      </c>
      <c r="E8" s="1"/>
      <c r="F8" s="1"/>
      <c r="H8" s="1"/>
      <c r="I8" s="1"/>
      <c r="J8" s="1"/>
      <c r="K8" s="2"/>
      <c r="L8" s="1"/>
      <c r="P8" s="2"/>
    </row>
    <row r="9" spans="1:23" x14ac:dyDescent="0.25">
      <c r="A9" s="19"/>
      <c r="B9" s="9">
        <v>4</v>
      </c>
      <c r="C9" s="1" t="s">
        <v>4</v>
      </c>
      <c r="D9" s="2">
        <v>1300</v>
      </c>
      <c r="E9" s="1"/>
      <c r="F9" s="1"/>
      <c r="H9" s="1"/>
      <c r="I9" s="1"/>
      <c r="J9" s="1"/>
      <c r="K9" s="2"/>
      <c r="L9" s="1"/>
      <c r="O9" t="s">
        <v>25</v>
      </c>
      <c r="P9" s="12">
        <v>100000</v>
      </c>
      <c r="R9" t="s">
        <v>27</v>
      </c>
    </row>
    <row r="10" spans="1:23" x14ac:dyDescent="0.25">
      <c r="A10" s="19"/>
      <c r="B10" s="9">
        <v>5</v>
      </c>
      <c r="C10" s="1" t="s">
        <v>8</v>
      </c>
      <c r="D10" s="2">
        <v>5900</v>
      </c>
      <c r="E10" s="1"/>
      <c r="F10" s="1"/>
      <c r="H10" s="1"/>
      <c r="I10" s="1"/>
      <c r="J10" s="1"/>
      <c r="K10" s="2"/>
      <c r="L10" s="1"/>
      <c r="P10" s="2">
        <v>200000</v>
      </c>
      <c r="R10" t="s">
        <v>28</v>
      </c>
    </row>
    <row r="11" spans="1:23" x14ac:dyDescent="0.25">
      <c r="A11" s="19"/>
      <c r="B11" s="9">
        <v>6</v>
      </c>
      <c r="C11" s="1" t="s">
        <v>9</v>
      </c>
      <c r="D11" s="2">
        <v>4000</v>
      </c>
      <c r="E11" s="1"/>
      <c r="F11" s="1"/>
      <c r="H11" s="1"/>
      <c r="I11" s="1"/>
      <c r="J11" s="1"/>
      <c r="K11" s="2"/>
      <c r="L11" s="1"/>
      <c r="P11" s="12">
        <v>100000</v>
      </c>
      <c r="R11" t="s">
        <v>36</v>
      </c>
    </row>
    <row r="12" spans="1:23" x14ac:dyDescent="0.25">
      <c r="A12" s="19"/>
      <c r="B12" s="9">
        <v>7</v>
      </c>
      <c r="C12" s="1" t="s">
        <v>11</v>
      </c>
      <c r="D12" s="2">
        <v>1770</v>
      </c>
      <c r="E12" s="1"/>
      <c r="F12" s="1"/>
      <c r="H12" s="1"/>
      <c r="I12" s="1"/>
      <c r="J12" s="1"/>
      <c r="K12" s="2"/>
      <c r="L12" s="1"/>
      <c r="P12" s="2">
        <v>100000</v>
      </c>
      <c r="R12" t="s">
        <v>29</v>
      </c>
    </row>
    <row r="13" spans="1:23" x14ac:dyDescent="0.25">
      <c r="A13" s="1"/>
      <c r="B13" s="8"/>
      <c r="C13" s="1"/>
      <c r="D13" s="2"/>
      <c r="E13" s="1"/>
      <c r="F13" s="1"/>
      <c r="H13" s="1"/>
      <c r="I13" s="1"/>
      <c r="J13" s="1"/>
      <c r="K13" s="2"/>
      <c r="L13" s="1"/>
      <c r="P13" s="2">
        <v>100000</v>
      </c>
      <c r="R13" t="s">
        <v>30</v>
      </c>
    </row>
    <row r="14" spans="1:23" x14ac:dyDescent="0.25">
      <c r="A14" s="1"/>
      <c r="B14" s="8"/>
      <c r="C14" s="1"/>
      <c r="D14" s="3">
        <f>SUM(D6:D12)</f>
        <v>52870</v>
      </c>
      <c r="E14" s="1"/>
      <c r="F14" s="1"/>
      <c r="H14" s="1"/>
      <c r="I14" s="1"/>
      <c r="J14" s="1"/>
      <c r="K14" s="2"/>
      <c r="L14" s="1"/>
      <c r="P14" s="2">
        <v>55000</v>
      </c>
      <c r="R14" t="s">
        <v>31</v>
      </c>
      <c r="W14" t="s">
        <v>34</v>
      </c>
    </row>
    <row r="15" spans="1:23" x14ac:dyDescent="0.25">
      <c r="A15" s="1"/>
      <c r="B15" s="8"/>
      <c r="C15" s="1"/>
      <c r="D15" s="2"/>
      <c r="E15" s="1"/>
      <c r="F15" s="1"/>
      <c r="H15" s="1"/>
      <c r="I15" s="1"/>
      <c r="J15" s="1"/>
      <c r="K15" s="2"/>
      <c r="L15" s="1"/>
      <c r="P15" s="2">
        <v>56000</v>
      </c>
      <c r="R15" t="s">
        <v>33</v>
      </c>
      <c r="V15" t="s">
        <v>32</v>
      </c>
    </row>
    <row r="16" spans="1:23" x14ac:dyDescent="0.25">
      <c r="A16" s="1"/>
      <c r="B16" s="8"/>
      <c r="C16" s="1"/>
      <c r="D16" s="2"/>
      <c r="E16" s="1"/>
      <c r="F16" s="1"/>
      <c r="H16" s="1"/>
      <c r="I16" s="1"/>
      <c r="J16" s="1"/>
      <c r="K16" s="2"/>
      <c r="L16" s="1"/>
      <c r="O16" t="s">
        <v>35</v>
      </c>
      <c r="P16" s="2">
        <v>200000</v>
      </c>
      <c r="R16" t="s">
        <v>33</v>
      </c>
    </row>
    <row r="17" spans="1:18" x14ac:dyDescent="0.25">
      <c r="H17" s="1"/>
      <c r="I17" s="1" t="s">
        <v>17</v>
      </c>
      <c r="J17" s="1"/>
      <c r="K17" s="7">
        <f>SUM(K3:K15)</f>
        <v>1448902.5</v>
      </c>
      <c r="L17" s="1"/>
      <c r="P17" s="2"/>
    </row>
    <row r="18" spans="1:18" x14ac:dyDescent="0.25">
      <c r="A18" s="19" t="s">
        <v>13</v>
      </c>
      <c r="B18" s="8">
        <v>1</v>
      </c>
      <c r="C18" s="1" t="s">
        <v>10</v>
      </c>
      <c r="D18" s="2">
        <v>600100</v>
      </c>
      <c r="E18" s="1"/>
      <c r="F18" s="1"/>
      <c r="H18" s="1"/>
      <c r="I18" s="1"/>
      <c r="J18" s="1"/>
      <c r="K18" s="2"/>
      <c r="L18" s="1"/>
      <c r="P18" s="2"/>
    </row>
    <row r="19" spans="1:18" x14ac:dyDescent="0.25">
      <c r="A19" s="19"/>
      <c r="B19" s="8">
        <v>2</v>
      </c>
      <c r="C19" s="1" t="s">
        <v>14</v>
      </c>
      <c r="D19" s="2">
        <v>741696.4</v>
      </c>
      <c r="E19" s="1"/>
      <c r="F19" s="1"/>
      <c r="H19" s="1"/>
      <c r="I19" s="1"/>
      <c r="J19" s="1"/>
      <c r="K19" s="2"/>
      <c r="L19" s="1"/>
      <c r="P19" s="2"/>
    </row>
    <row r="20" spans="1:18" x14ac:dyDescent="0.25">
      <c r="A20" s="19"/>
      <c r="B20" s="8">
        <v>3</v>
      </c>
      <c r="C20" s="1" t="s">
        <v>15</v>
      </c>
      <c r="D20" s="2">
        <v>37084</v>
      </c>
      <c r="E20" s="1"/>
      <c r="F20" s="1"/>
      <c r="H20" s="1"/>
      <c r="I20" s="1"/>
      <c r="J20" s="1"/>
      <c r="K20" s="2"/>
      <c r="L20" s="1"/>
      <c r="P20" s="2"/>
    </row>
    <row r="21" spans="1:18" x14ac:dyDescent="0.25">
      <c r="A21" s="19"/>
      <c r="B21" s="8">
        <v>4</v>
      </c>
      <c r="C21" s="1" t="s">
        <v>16</v>
      </c>
      <c r="D21" s="2"/>
      <c r="E21" s="1"/>
      <c r="F21" s="1"/>
      <c r="P21" s="2">
        <f>J3-P6-P9</f>
        <v>600000</v>
      </c>
    </row>
    <row r="22" spans="1:18" x14ac:dyDescent="0.25">
      <c r="A22" s="19"/>
      <c r="B22" s="8"/>
      <c r="C22" s="1" t="s">
        <v>12</v>
      </c>
      <c r="D22" s="3">
        <f>SUM(D18:D20)</f>
        <v>1378880.4</v>
      </c>
      <c r="E22" s="1"/>
      <c r="F22" s="1"/>
      <c r="P22" s="2"/>
    </row>
    <row r="23" spans="1:18" x14ac:dyDescent="0.25">
      <c r="O23" t="s">
        <v>40</v>
      </c>
      <c r="P23" s="12">
        <v>200000</v>
      </c>
      <c r="R23" t="s">
        <v>39</v>
      </c>
    </row>
    <row r="24" spans="1:18" x14ac:dyDescent="0.25">
      <c r="P24" s="2"/>
    </row>
    <row r="25" spans="1:18" x14ac:dyDescent="0.25">
      <c r="A25" s="1"/>
      <c r="B25" s="8"/>
      <c r="C25" s="1" t="s">
        <v>23</v>
      </c>
      <c r="D25" s="5">
        <f>D14+D22</f>
        <v>1431750.4</v>
      </c>
      <c r="E25" s="1"/>
      <c r="F25" s="1"/>
    </row>
    <row r="27" spans="1:18" x14ac:dyDescent="0.25">
      <c r="P27" s="13">
        <f>P21-P23</f>
        <v>400000</v>
      </c>
    </row>
    <row r="28" spans="1:18" x14ac:dyDescent="0.25">
      <c r="A28" s="1"/>
      <c r="B28" s="8"/>
      <c r="C28" s="1" t="s">
        <v>21</v>
      </c>
      <c r="D28" s="6">
        <f>K17-D25</f>
        <v>17152.100000000093</v>
      </c>
      <c r="E28" s="1"/>
      <c r="F28" s="1"/>
    </row>
  </sheetData>
  <mergeCells count="2">
    <mergeCell ref="A4:A12"/>
    <mergeCell ref="A18:A22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new</vt:lpstr>
      <vt:lpstr>loan vs paid</vt:lpstr>
      <vt:lpstr>Sheet1</vt:lpstr>
      <vt:lpstr>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Supriya Pandit</dc:creator>
  <cp:lastModifiedBy>Supriya Pandit</cp:lastModifiedBy>
  <dcterms:created xsi:type="dcterms:W3CDTF">2025-07-08T06:54:40Z</dcterms:created>
  <dcterms:modified xsi:type="dcterms:W3CDTF">2025-11-10T07:34:37Z</dcterms:modified>
</cp:coreProperties>
</file>